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指定と結果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7" customWidth="1" min="3" max="3"/>
    <col width="6" customWidth="1" min="4" max="4"/>
    <col width="12" customWidth="1" min="5" max="5"/>
    <col width="8" customWidth="1" min="6" max="6"/>
    <col width="8" customWidth="1" min="7" max="7"/>
    <col width="14" customWidth="1" min="8" max="8"/>
    <col width="14" customWidth="1" min="9" max="9"/>
    <col width="28" customWidth="1" min="10" max="10"/>
    <col width="14" customWidth="1" min="11" max="11"/>
    <col width="14" customWidth="1" min="12" max="12"/>
    <col width="14" customWidth="1" min="13" max="13"/>
    <col width="40" customWidth="1" min="14" max="14"/>
    <col width="28" customWidth="1" min="15" max="15"/>
    <col width="14" customWidth="1" min="16" max="16"/>
    <col width="14" customWidth="1" min="17" max="17"/>
    <col width="14" customWidth="1" min="18" max="18"/>
    <col width="40" customWidth="1" min="19" max="19"/>
    <col width="28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① 入力（ここに記入してコピー）</t>
        </is>
      </c>
      <c r="B1" s="1" t="n"/>
      <c r="C1" s="1" t="n"/>
      <c r="D1" s="1" t="n"/>
      <c r="E1" s="1" t="n"/>
      <c r="F1" s="1" t="n"/>
      <c r="G1" s="1" t="n"/>
      <c r="H1" s="2" t="inlineStr">
        <is>
          <t>② AIの出力表を H1 に貼り付け（見出しごと）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inlineStr">
        <is>
          <t>③ 自動（触らない）</t>
        </is>
      </c>
      <c r="AA1" s="3" t="n"/>
      <c r="AB1" s="3" t="n"/>
      <c r="AC1" s="3" t="n"/>
    </row>
    <row r="2" ht="32" customHeight="1">
      <c r="A2" s="1" t="inlineStr">
        <is>
          <t>項目番号</t>
        </is>
      </c>
      <c r="B2" s="1" t="inlineStr">
        <is>
          <t>品名</t>
        </is>
      </c>
      <c r="C2" s="1" t="inlineStr">
        <is>
          <t>基準量</t>
        </is>
      </c>
      <c r="D2" s="1" t="inlineStr">
        <is>
          <t>単位</t>
        </is>
      </c>
      <c r="E2" s="1" t="inlineStr">
        <is>
          <t>指定価格(円・税込)</t>
        </is>
      </c>
      <c r="F2" s="1" t="inlineStr">
        <is>
          <t>容量下限</t>
        </is>
      </c>
      <c r="G2" s="1" t="inlineStr">
        <is>
          <t>容量上限</t>
        </is>
      </c>
      <c r="H2" s="2" t="inlineStr">
        <is>
          <t>項目番号</t>
        </is>
      </c>
      <c r="I2" s="2" t="inlineStr">
        <is>
          <t>判定</t>
        </is>
      </c>
      <c r="J2" s="2" t="inlineStr">
        <is>
          <t>楽天_商品名</t>
        </is>
      </c>
      <c r="K2" s="2" t="inlineStr">
        <is>
          <t>楽天_内容量×入数</t>
        </is>
      </c>
      <c r="L2" s="2" t="inlineStr">
        <is>
          <t>楽天_販売価格</t>
        </is>
      </c>
      <c r="M2" s="2" t="inlineStr">
        <is>
          <t>楽天_基準量あたり</t>
        </is>
      </c>
      <c r="N2" s="2" t="inlineStr">
        <is>
          <t>楽天_URL</t>
        </is>
      </c>
      <c r="O2" s="2" t="inlineStr">
        <is>
          <t>Yahoo_商品名</t>
        </is>
      </c>
      <c r="P2" s="2" t="inlineStr">
        <is>
          <t>Yahoo_内容量×入数</t>
        </is>
      </c>
      <c r="Q2" s="2" t="inlineStr">
        <is>
          <t>Yahoo_販売価格</t>
        </is>
      </c>
      <c r="R2" s="2" t="inlineStr">
        <is>
          <t>Yahoo_基準量あたり</t>
        </is>
      </c>
      <c r="S2" s="2" t="inlineStr">
        <is>
          <t>Yahoo_URL</t>
        </is>
      </c>
      <c r="T2" s="2" t="inlineStr">
        <is>
          <t>Amazon_商品名</t>
        </is>
      </c>
      <c r="U2" s="2" t="inlineStr">
        <is>
          <t>Amazon_内容量×入数</t>
        </is>
      </c>
      <c r="V2" s="2" t="inlineStr">
        <is>
          <t>Amazon_販売価格</t>
        </is>
      </c>
      <c r="W2" s="2" t="inlineStr">
        <is>
          <t>Amazon_基準量あたり</t>
        </is>
      </c>
      <c r="X2" s="2" t="inlineStr">
        <is>
          <t>Amazon_URL</t>
        </is>
      </c>
      <c r="Y2" s="2" t="inlineStr">
        <is>
          <t>備考</t>
        </is>
      </c>
      <c r="Z2" s="3" t="inlineStr">
        <is>
          <t>楽天リンク</t>
        </is>
      </c>
      <c r="AA2" s="3" t="inlineStr">
        <is>
          <t>Yahooリンク</t>
        </is>
      </c>
      <c r="AB2" s="3" t="inlineStr">
        <is>
          <t>Amazonリンク</t>
        </is>
      </c>
      <c r="AC2" s="3" t="inlineStr">
        <is>
          <t>行チェック</t>
        </is>
      </c>
    </row>
    <row r="3">
      <c r="A3" s="4" t="n">
        <v>10</v>
      </c>
      <c r="B3" s="4" t="inlineStr">
        <is>
          <t>マヨネーズ</t>
        </is>
      </c>
      <c r="C3" s="4" t="n">
        <v>100</v>
      </c>
      <c r="D3" s="4" t="inlineStr">
        <is>
          <t>g</t>
        </is>
      </c>
      <c r="E3" s="4" t="n"/>
      <c r="F3" s="4" t="n"/>
      <c r="G3" s="4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6">
        <f>IF(LEFT(N3,4)="http",HYPERLINK(N3,"楽天を開く"),"")</f>
        <v/>
      </c>
      <c r="AA3" s="6">
        <f>IF(LEFT(S3,4)="http",HYPERLINK(S3,"Yahooを開く"),"")</f>
        <v/>
      </c>
      <c r="AB3" s="6">
        <f>IF(LEFT(X3,4)="http",HYPERLINK(X3,"Amazonを開く"),"")</f>
        <v/>
      </c>
      <c r="AC3" s="6">
        <f>IF(H3="","",IF(TRIM(H3&amp;"")=TRIM(A3&amp;""),"OK","行ずれ"))</f>
        <v/>
      </c>
    </row>
    <row r="4">
      <c r="A4" s="4" t="n">
        <v>20</v>
      </c>
      <c r="B4" s="4" t="inlineStr">
        <is>
          <t>カレー粉</t>
        </is>
      </c>
      <c r="C4" s="4" t="n">
        <v>100</v>
      </c>
      <c r="D4" s="4" t="inlineStr">
        <is>
          <t>g</t>
        </is>
      </c>
      <c r="E4" s="4" t="n"/>
      <c r="F4" s="4" t="n"/>
      <c r="G4" s="4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6">
        <f>IF(LEFT(N4,4)="http",HYPERLINK(N4,"楽天を開く"),"")</f>
        <v/>
      </c>
      <c r="AA4" s="6">
        <f>IF(LEFT(S4,4)="http",HYPERLINK(S4,"Yahooを開く"),"")</f>
        <v/>
      </c>
      <c r="AB4" s="6">
        <f>IF(LEFT(X4,4)="http",HYPERLINK(X4,"Amazonを開く"),"")</f>
        <v/>
      </c>
      <c r="AC4" s="6">
        <f>IF(H4="","",IF(TRIM(H4&amp;"")=TRIM(A4&amp;""),"OK","行ずれ"))</f>
        <v/>
      </c>
    </row>
    <row r="5">
      <c r="A5" s="4" t="n">
        <v>30</v>
      </c>
      <c r="B5" s="4" t="inlineStr">
        <is>
          <t>ミートソース（缶）</t>
        </is>
      </c>
      <c r="C5" s="4" t="n">
        <v>100</v>
      </c>
      <c r="D5" s="4" t="inlineStr">
        <is>
          <t>g</t>
        </is>
      </c>
      <c r="E5" s="4" t="n"/>
      <c r="F5" s="4" t="n"/>
      <c r="G5" s="4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6">
        <f>IF(LEFT(N5,4)="http",HYPERLINK(N5,"楽天を開く"),"")</f>
        <v/>
      </c>
      <c r="AA5" s="6">
        <f>IF(LEFT(S5,4)="http",HYPERLINK(S5,"Yahooを開く"),"")</f>
        <v/>
      </c>
      <c r="AB5" s="6">
        <f>IF(LEFT(X5,4)="http",HYPERLINK(X5,"Amazonを開く"),"")</f>
        <v/>
      </c>
      <c r="AC5" s="6">
        <f>IF(H5="","",IF(TRIM(H5&amp;"")=TRIM(A5&amp;""),"OK","行ずれ"))</f>
        <v/>
      </c>
    </row>
    <row r="6">
      <c r="A6" s="4" t="n">
        <v>40</v>
      </c>
      <c r="B6" s="4" t="inlineStr">
        <is>
          <t>トンカツソース</t>
        </is>
      </c>
      <c r="C6" s="4" t="n">
        <v>100</v>
      </c>
      <c r="D6" s="4" t="inlineStr">
        <is>
          <t>ml</t>
        </is>
      </c>
      <c r="E6" s="4" t="n"/>
      <c r="F6" s="4" t="n"/>
      <c r="G6" s="4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6">
        <f>IF(LEFT(N6,4)="http",HYPERLINK(N6,"楽天を開く"),"")</f>
        <v/>
      </c>
      <c r="AA6" s="6">
        <f>IF(LEFT(S6,4)="http",HYPERLINK(S6,"Yahooを開く"),"")</f>
        <v/>
      </c>
      <c r="AB6" s="6">
        <f>IF(LEFT(X6,4)="http",HYPERLINK(X6,"Amazonを開く"),"")</f>
        <v/>
      </c>
      <c r="AC6" s="6">
        <f>IF(H6="","",IF(TRIM(H6&amp;"")=TRIM(A6&amp;""),"OK","行ずれ"))</f>
        <v/>
      </c>
    </row>
    <row r="7">
      <c r="A7" s="4" t="n">
        <v>50</v>
      </c>
      <c r="B7" s="4" t="inlineStr">
        <is>
          <t>ウスターソース</t>
        </is>
      </c>
      <c r="C7" s="4" t="n">
        <v>100</v>
      </c>
      <c r="D7" s="4" t="inlineStr">
        <is>
          <t>ml</t>
        </is>
      </c>
      <c r="E7" s="4" t="n"/>
      <c r="F7" s="4" t="n"/>
      <c r="G7" s="4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6">
        <f>IF(LEFT(N7,4)="http",HYPERLINK(N7,"楽天を開く"),"")</f>
        <v/>
      </c>
      <c r="AA7" s="6">
        <f>IF(LEFT(S7,4)="http",HYPERLINK(S7,"Yahooを開く"),"")</f>
        <v/>
      </c>
      <c r="AB7" s="6">
        <f>IF(LEFT(X7,4)="http",HYPERLINK(X7,"Amazonを開く"),"")</f>
        <v/>
      </c>
      <c r="AC7" s="6">
        <f>IF(H7="","",IF(TRIM(H7&amp;"")=TRIM(A7&amp;""),"OK","行ずれ"))</f>
        <v/>
      </c>
    </row>
    <row r="8">
      <c r="A8" s="4" t="n">
        <v>60</v>
      </c>
      <c r="B8" s="4" t="inlineStr">
        <is>
          <t>紅鮭茶漬缶</t>
        </is>
      </c>
      <c r="C8" s="4" t="n">
        <v>100</v>
      </c>
      <c r="D8" s="4" t="inlineStr">
        <is>
          <t>g</t>
        </is>
      </c>
      <c r="E8" s="4" t="n"/>
      <c r="F8" s="4" t="n"/>
      <c r="G8" s="4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6">
        <f>IF(LEFT(N8,4)="http",HYPERLINK(N8,"楽天を開く"),"")</f>
        <v/>
      </c>
      <c r="AA8" s="6">
        <f>IF(LEFT(S8,4)="http",HYPERLINK(S8,"Yahooを開く"),"")</f>
        <v/>
      </c>
      <c r="AB8" s="6">
        <f>IF(LEFT(X8,4)="http",HYPERLINK(X8,"Amazonを開く"),"")</f>
        <v/>
      </c>
      <c r="AC8" s="6">
        <f>IF(H8="","",IF(TRIM(H8&amp;"")=TRIM(A8&amp;""),"OK","行ずれ"))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6">
        <f>IF(LEFT(N9,4)="http",HYPERLINK(N9,"楽天を開く"),"")</f>
        <v/>
      </c>
      <c r="AA9" s="6">
        <f>IF(LEFT(S9,4)="http",HYPERLINK(S9,"Yahooを開く"),"")</f>
        <v/>
      </c>
      <c r="AB9" s="6">
        <f>IF(LEFT(X9,4)="http",HYPERLINK(X9,"Amazonを開く"),"")</f>
        <v/>
      </c>
      <c r="AC9" s="6">
        <f>IF(H9="","",IF(TRIM(H9&amp;"")=TRIM(A9&amp;""),"OK","行ずれ"))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6">
        <f>IF(LEFT(N10,4)="http",HYPERLINK(N10,"楽天を開く"),"")</f>
        <v/>
      </c>
      <c r="AA10" s="6">
        <f>IF(LEFT(S10,4)="http",HYPERLINK(S10,"Yahooを開く"),"")</f>
        <v/>
      </c>
      <c r="AB10" s="6">
        <f>IF(LEFT(X10,4)="http",HYPERLINK(X10,"Amazonを開く"),"")</f>
        <v/>
      </c>
      <c r="AC10" s="6">
        <f>IF(H10="","",IF(TRIM(H10&amp;"")=TRIM(A10&amp;""),"OK","行ずれ"))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6">
        <f>IF(LEFT(N11,4)="http",HYPERLINK(N11,"楽天を開く"),"")</f>
        <v/>
      </c>
      <c r="AA11" s="6">
        <f>IF(LEFT(S11,4)="http",HYPERLINK(S11,"Yahooを開く"),"")</f>
        <v/>
      </c>
      <c r="AB11" s="6">
        <f>IF(LEFT(X11,4)="http",HYPERLINK(X11,"Amazonを開く"),"")</f>
        <v/>
      </c>
      <c r="AC11" s="6">
        <f>IF(H11="","",IF(TRIM(H11&amp;"")=TRIM(A11&amp;""),"OK","行ずれ"))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6">
        <f>IF(LEFT(N12,4)="http",HYPERLINK(N12,"楽天を開く"),"")</f>
        <v/>
      </c>
      <c r="AA12" s="6">
        <f>IF(LEFT(S12,4)="http",HYPERLINK(S12,"Yahooを開く"),"")</f>
        <v/>
      </c>
      <c r="AB12" s="6">
        <f>IF(LEFT(X12,4)="http",HYPERLINK(X12,"Amazonを開く"),"")</f>
        <v/>
      </c>
      <c r="AC12" s="6">
        <f>IF(H12="","",IF(TRIM(H12&amp;"")=TRIM(A12&amp;""),"OK","行ずれ"))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6">
        <f>IF(LEFT(N13,4)="http",HYPERLINK(N13,"楽天を開く"),"")</f>
        <v/>
      </c>
      <c r="AA13" s="6">
        <f>IF(LEFT(S13,4)="http",HYPERLINK(S13,"Yahooを開く"),"")</f>
        <v/>
      </c>
      <c r="AB13" s="6">
        <f>IF(LEFT(X13,4)="http",HYPERLINK(X13,"Amazonを開く"),"")</f>
        <v/>
      </c>
      <c r="AC13" s="6">
        <f>IF(H13="","",IF(TRIM(H13&amp;"")=TRIM(A13&amp;""),"OK","行ずれ"))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6">
        <f>IF(LEFT(N14,4)="http",HYPERLINK(N14,"楽天を開く"),"")</f>
        <v/>
      </c>
      <c r="AA14" s="6">
        <f>IF(LEFT(S14,4)="http",HYPERLINK(S14,"Yahooを開く"),"")</f>
        <v/>
      </c>
      <c r="AB14" s="6">
        <f>IF(LEFT(X14,4)="http",HYPERLINK(X14,"Amazonを開く"),"")</f>
        <v/>
      </c>
      <c r="AC14" s="6">
        <f>IF(H14="","",IF(TRIM(H14&amp;"")=TRIM(A14&amp;""),"OK","行ずれ"))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6">
        <f>IF(LEFT(N15,4)="http",HYPERLINK(N15,"楽天を開く"),"")</f>
        <v/>
      </c>
      <c r="AA15" s="6">
        <f>IF(LEFT(S15,4)="http",HYPERLINK(S15,"Yahooを開く"),"")</f>
        <v/>
      </c>
      <c r="AB15" s="6">
        <f>IF(LEFT(X15,4)="http",HYPERLINK(X15,"Amazonを開く"),"")</f>
        <v/>
      </c>
      <c r="AC15" s="6">
        <f>IF(H15="","",IF(TRIM(H15&amp;"")=TRIM(A15&amp;""),"OK","行ずれ"))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6">
        <f>IF(LEFT(N16,4)="http",HYPERLINK(N16,"楽天を開く"),"")</f>
        <v/>
      </c>
      <c r="AA16" s="6">
        <f>IF(LEFT(S16,4)="http",HYPERLINK(S16,"Yahooを開く"),"")</f>
        <v/>
      </c>
      <c r="AB16" s="6">
        <f>IF(LEFT(X16,4)="http",HYPERLINK(X16,"Amazonを開く"),"")</f>
        <v/>
      </c>
      <c r="AC16" s="6">
        <f>IF(H16="","",IF(TRIM(H16&amp;"")=TRIM(A16&amp;""),"OK","行ずれ"))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6">
        <f>IF(LEFT(N17,4)="http",HYPERLINK(N17,"楽天を開く"),"")</f>
        <v/>
      </c>
      <c r="AA17" s="6">
        <f>IF(LEFT(S17,4)="http",HYPERLINK(S17,"Yahooを開く"),"")</f>
        <v/>
      </c>
      <c r="AB17" s="6">
        <f>IF(LEFT(X17,4)="http",HYPERLINK(X17,"Amazonを開く"),"")</f>
        <v/>
      </c>
      <c r="AC17" s="6">
        <f>IF(H17="","",IF(TRIM(H17&amp;"")=TRIM(A17&amp;""),"OK","行ずれ"))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6">
        <f>IF(LEFT(N18,4)="http",HYPERLINK(N18,"楽天を開く"),"")</f>
        <v/>
      </c>
      <c r="AA18" s="6">
        <f>IF(LEFT(S18,4)="http",HYPERLINK(S18,"Yahooを開く"),"")</f>
        <v/>
      </c>
      <c r="AB18" s="6">
        <f>IF(LEFT(X18,4)="http",HYPERLINK(X18,"Amazonを開く"),"")</f>
        <v/>
      </c>
      <c r="AC18" s="6">
        <f>IF(H18="","",IF(TRIM(H18&amp;"")=TRIM(A18&amp;""),"OK","行ずれ"))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>
        <f>IF(LEFT(N19,4)="http",HYPERLINK(N19,"楽天を開く"),"")</f>
        <v/>
      </c>
      <c r="AA19" s="6">
        <f>IF(LEFT(S19,4)="http",HYPERLINK(S19,"Yahooを開く"),"")</f>
        <v/>
      </c>
      <c r="AB19" s="6">
        <f>IF(LEFT(X19,4)="http",HYPERLINK(X19,"Amazonを開く"),"")</f>
        <v/>
      </c>
      <c r="AC19" s="6">
        <f>IF(H19="","",IF(TRIM(H19&amp;"")=TRIM(A19&amp;""),"OK","行ずれ"))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6">
        <f>IF(LEFT(N20,4)="http",HYPERLINK(N20,"楽天を開く"),"")</f>
        <v/>
      </c>
      <c r="AA20" s="6">
        <f>IF(LEFT(S20,4)="http",HYPERLINK(S20,"Yahooを開く"),"")</f>
        <v/>
      </c>
      <c r="AB20" s="6">
        <f>IF(LEFT(X20,4)="http",HYPERLINK(X20,"Amazonを開く"),"")</f>
        <v/>
      </c>
      <c r="AC20" s="6">
        <f>IF(H20="","",IF(TRIM(H20&amp;"")=TRIM(A20&amp;""),"OK","行ずれ"))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6">
        <f>IF(LEFT(N21,4)="http",HYPERLINK(N21,"楽天を開く"),"")</f>
        <v/>
      </c>
      <c r="AA21" s="6">
        <f>IF(LEFT(S21,4)="http",HYPERLINK(S21,"Yahooを開く"),"")</f>
        <v/>
      </c>
      <c r="AB21" s="6">
        <f>IF(LEFT(X21,4)="http",HYPERLINK(X21,"Amazonを開く"),"")</f>
        <v/>
      </c>
      <c r="AC21" s="6">
        <f>IF(H21="","",IF(TRIM(H21&amp;"")=TRIM(A21&amp;""),"OK","行ずれ"))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6">
        <f>IF(LEFT(N22,4)="http",HYPERLINK(N22,"楽天を開く"),"")</f>
        <v/>
      </c>
      <c r="AA22" s="6">
        <f>IF(LEFT(S22,4)="http",HYPERLINK(S22,"Yahooを開く"),"")</f>
        <v/>
      </c>
      <c r="AB22" s="6">
        <f>IF(LEFT(X22,4)="http",HYPERLINK(X22,"Amazonを開く"),"")</f>
        <v/>
      </c>
      <c r="AC22" s="6">
        <f>IF(H22="","",IF(TRIM(H22&amp;"")=TRIM(A22&amp;""),"OK","行ずれ"))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6">
        <f>IF(LEFT(N23,4)="http",HYPERLINK(N23,"楽天を開く"),"")</f>
        <v/>
      </c>
      <c r="AA23" s="6">
        <f>IF(LEFT(S23,4)="http",HYPERLINK(S23,"Yahooを開く"),"")</f>
        <v/>
      </c>
      <c r="AB23" s="6">
        <f>IF(LEFT(X23,4)="http",HYPERLINK(X23,"Amazonを開く"),"")</f>
        <v/>
      </c>
      <c r="AC23" s="6">
        <f>IF(H23="","",IF(TRIM(H23&amp;"")=TRIM(A23&amp;""),"OK","行ずれ"))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6">
        <f>IF(LEFT(N24,4)="http",HYPERLINK(N24,"楽天を開く"),"")</f>
        <v/>
      </c>
      <c r="AA24" s="6">
        <f>IF(LEFT(S24,4)="http",HYPERLINK(S24,"Yahooを開く"),"")</f>
        <v/>
      </c>
      <c r="AB24" s="6">
        <f>IF(LEFT(X24,4)="http",HYPERLINK(X24,"Amazonを開く"),"")</f>
        <v/>
      </c>
      <c r="AC24" s="6">
        <f>IF(H24="","",IF(TRIM(H24&amp;"")=TRIM(A24&amp;""),"OK","行ずれ"))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6">
        <f>IF(LEFT(N25,4)="http",HYPERLINK(N25,"楽天を開く"),"")</f>
        <v/>
      </c>
      <c r="AA25" s="6">
        <f>IF(LEFT(S25,4)="http",HYPERLINK(S25,"Yahooを開く"),"")</f>
        <v/>
      </c>
      <c r="AB25" s="6">
        <f>IF(LEFT(X25,4)="http",HYPERLINK(X25,"Amazonを開く"),"")</f>
        <v/>
      </c>
      <c r="AC25" s="6">
        <f>IF(H25="","",IF(TRIM(H25&amp;"")=TRIM(A25&amp;""),"OK","行ずれ"))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6">
        <f>IF(LEFT(N26,4)="http",HYPERLINK(N26,"楽天を開く"),"")</f>
        <v/>
      </c>
      <c r="AA26" s="6">
        <f>IF(LEFT(S26,4)="http",HYPERLINK(S26,"Yahooを開く"),"")</f>
        <v/>
      </c>
      <c r="AB26" s="6">
        <f>IF(LEFT(X26,4)="http",HYPERLINK(X26,"Amazonを開く"),"")</f>
        <v/>
      </c>
      <c r="AC26" s="6">
        <f>IF(H26="","",IF(TRIM(H26&amp;"")=TRIM(A26&amp;""),"OK","行ずれ"))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6">
        <f>IF(LEFT(N27,4)="http",HYPERLINK(N27,"楽天を開く"),"")</f>
        <v/>
      </c>
      <c r="AA27" s="6">
        <f>IF(LEFT(S27,4)="http",HYPERLINK(S27,"Yahooを開く"),"")</f>
        <v/>
      </c>
      <c r="AB27" s="6">
        <f>IF(LEFT(X27,4)="http",HYPERLINK(X27,"Amazonを開く"),"")</f>
        <v/>
      </c>
      <c r="AC27" s="6">
        <f>IF(H27="","",IF(TRIM(H27&amp;"")=TRIM(A27&amp;""),"OK","行ずれ"))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6">
        <f>IF(LEFT(N28,4)="http",HYPERLINK(N28,"楽天を開く"),"")</f>
        <v/>
      </c>
      <c r="AA28" s="6">
        <f>IF(LEFT(S28,4)="http",HYPERLINK(S28,"Yahooを開く"),"")</f>
        <v/>
      </c>
      <c r="AB28" s="6">
        <f>IF(LEFT(X28,4)="http",HYPERLINK(X28,"Amazonを開く"),"")</f>
        <v/>
      </c>
      <c r="AC28" s="6">
        <f>IF(H28="","",IF(TRIM(H28&amp;"")=TRIM(A28&amp;""),"OK","行ずれ"))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6">
        <f>IF(LEFT(N29,4)="http",HYPERLINK(N29,"楽天を開く"),"")</f>
        <v/>
      </c>
      <c r="AA29" s="6">
        <f>IF(LEFT(S29,4)="http",HYPERLINK(S29,"Yahooを開く"),"")</f>
        <v/>
      </c>
      <c r="AB29" s="6">
        <f>IF(LEFT(X29,4)="http",HYPERLINK(X29,"Amazonを開く"),"")</f>
        <v/>
      </c>
      <c r="AC29" s="6">
        <f>IF(H29="","",IF(TRIM(H29&amp;"")=TRIM(A29&amp;""),"OK","行ずれ"))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6">
        <f>IF(LEFT(N30,4)="http",HYPERLINK(N30,"楽天を開く"),"")</f>
        <v/>
      </c>
      <c r="AA30" s="6">
        <f>IF(LEFT(S30,4)="http",HYPERLINK(S30,"Yahooを開く"),"")</f>
        <v/>
      </c>
      <c r="AB30" s="6">
        <f>IF(LEFT(X30,4)="http",HYPERLINK(X30,"Amazonを開く"),"")</f>
        <v/>
      </c>
      <c r="AC30" s="6">
        <f>IF(H30="","",IF(TRIM(H30&amp;"")=TRIM(A30&amp;""),"OK","行ずれ"))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6">
        <f>IF(LEFT(N31,4)="http",HYPERLINK(N31,"楽天を開く"),"")</f>
        <v/>
      </c>
      <c r="AA31" s="6">
        <f>IF(LEFT(S31,4)="http",HYPERLINK(S31,"Yahooを開く"),"")</f>
        <v/>
      </c>
      <c r="AB31" s="6">
        <f>IF(LEFT(X31,4)="http",HYPERLINK(X31,"Amazonを開く"),"")</f>
        <v/>
      </c>
      <c r="AC31" s="6">
        <f>IF(H31="","",IF(TRIM(H31&amp;"")=TRIM(A31&amp;""),"OK","行ずれ"))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6">
        <f>IF(LEFT(N32,4)="http",HYPERLINK(N32,"楽天を開く"),"")</f>
        <v/>
      </c>
      <c r="AA32" s="6">
        <f>IF(LEFT(S32,4)="http",HYPERLINK(S32,"Yahooを開く"),"")</f>
        <v/>
      </c>
      <c r="AB32" s="6">
        <f>IF(LEFT(X32,4)="http",HYPERLINK(X32,"Amazonを開く"),"")</f>
        <v/>
      </c>
      <c r="AC32" s="6">
        <f>IF(H32="","",IF(TRIM(H32&amp;"")=TRIM(A32&amp;""),"OK","行ずれ"))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6">
        <f>IF(LEFT(N33,4)="http",HYPERLINK(N33,"楽天を開く"),"")</f>
        <v/>
      </c>
      <c r="AA33" s="6">
        <f>IF(LEFT(S33,4)="http",HYPERLINK(S33,"Yahooを開く"),"")</f>
        <v/>
      </c>
      <c r="AB33" s="6">
        <f>IF(LEFT(X33,4)="http",HYPERLINK(X33,"Amazonを開く"),"")</f>
        <v/>
      </c>
      <c r="AC33" s="6">
        <f>IF(H33="","",IF(TRIM(H33&amp;"")=TRIM(A33&amp;""),"OK","行ずれ"))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6">
        <f>IF(LEFT(N34,4)="http",HYPERLINK(N34,"楽天を開く"),"")</f>
        <v/>
      </c>
      <c r="AA34" s="6">
        <f>IF(LEFT(S34,4)="http",HYPERLINK(S34,"Yahooを開く"),"")</f>
        <v/>
      </c>
      <c r="AB34" s="6">
        <f>IF(LEFT(X34,4)="http",HYPERLINK(X34,"Amazonを開く"),"")</f>
        <v/>
      </c>
      <c r="AC34" s="6">
        <f>IF(H34="","",IF(TRIM(H34&amp;"")=TRIM(A34&amp;""),"OK","行ずれ"))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6">
        <f>IF(LEFT(N35,4)="http",HYPERLINK(N35,"楽天を開く"),"")</f>
        <v/>
      </c>
      <c r="AA35" s="6">
        <f>IF(LEFT(S35,4)="http",HYPERLINK(S35,"Yahooを開く"),"")</f>
        <v/>
      </c>
      <c r="AB35" s="6">
        <f>IF(LEFT(X35,4)="http",HYPERLINK(X35,"Amazonを開く"),"")</f>
        <v/>
      </c>
      <c r="AC35" s="6">
        <f>IF(H35="","",IF(TRIM(H35&amp;"")=TRIM(A35&amp;""),"OK","行ずれ"))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6">
        <f>IF(LEFT(N36,4)="http",HYPERLINK(N36,"楽天を開く"),"")</f>
        <v/>
      </c>
      <c r="AA36" s="6">
        <f>IF(LEFT(S36,4)="http",HYPERLINK(S36,"Yahooを開く"),"")</f>
        <v/>
      </c>
      <c r="AB36" s="6">
        <f>IF(LEFT(X36,4)="http",HYPERLINK(X36,"Amazonを開く"),"")</f>
        <v/>
      </c>
      <c r="AC36" s="6">
        <f>IF(H36="","",IF(TRIM(H36&amp;"")=TRIM(A36&amp;""),"OK","行ずれ"))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6">
        <f>IF(LEFT(N37,4)="http",HYPERLINK(N37,"楽天を開く"),"")</f>
        <v/>
      </c>
      <c r="AA37" s="6">
        <f>IF(LEFT(S37,4)="http",HYPERLINK(S37,"Yahooを開く"),"")</f>
        <v/>
      </c>
      <c r="AB37" s="6">
        <f>IF(LEFT(X37,4)="http",HYPERLINK(X37,"Amazonを開く"),"")</f>
        <v/>
      </c>
      <c r="AC37" s="6">
        <f>IF(H37="","",IF(TRIM(H37&amp;"")=TRIM(A37&amp;""),"OK","行ずれ"))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6">
        <f>IF(LEFT(N38,4)="http",HYPERLINK(N38,"楽天を開く"),"")</f>
        <v/>
      </c>
      <c r="AA38" s="6">
        <f>IF(LEFT(S38,4)="http",HYPERLINK(S38,"Yahooを開く"),"")</f>
        <v/>
      </c>
      <c r="AB38" s="6">
        <f>IF(LEFT(X38,4)="http",HYPERLINK(X38,"Amazonを開く"),"")</f>
        <v/>
      </c>
      <c r="AC38" s="6">
        <f>IF(H38="","",IF(TRIM(H38&amp;"")=TRIM(A38&amp;""),"OK","行ずれ"))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6">
        <f>IF(LEFT(N39,4)="http",HYPERLINK(N39,"楽天を開く"),"")</f>
        <v/>
      </c>
      <c r="AA39" s="6">
        <f>IF(LEFT(S39,4)="http",HYPERLINK(S39,"Yahooを開く"),"")</f>
        <v/>
      </c>
      <c r="AB39" s="6">
        <f>IF(LEFT(X39,4)="http",HYPERLINK(X39,"Amazonを開く"),"")</f>
        <v/>
      </c>
      <c r="AC39" s="6">
        <f>IF(H39="","",IF(TRIM(H39&amp;"")=TRIM(A39&amp;""),"OK","行ずれ"))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6">
        <f>IF(LEFT(N40,4)="http",HYPERLINK(N40,"楽天を開く"),"")</f>
        <v/>
      </c>
      <c r="AA40" s="6">
        <f>IF(LEFT(S40,4)="http",HYPERLINK(S40,"Yahooを開く"),"")</f>
        <v/>
      </c>
      <c r="AB40" s="6">
        <f>IF(LEFT(X40,4)="http",HYPERLINK(X40,"Amazonを開く"),"")</f>
        <v/>
      </c>
      <c r="AC40" s="6">
        <f>IF(H40="","",IF(TRIM(H40&amp;"")=TRIM(A40&amp;""),"OK","行ずれ"))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6">
        <f>IF(LEFT(N41,4)="http",HYPERLINK(N41,"楽天を開く"),"")</f>
        <v/>
      </c>
      <c r="AA41" s="6">
        <f>IF(LEFT(S41,4)="http",HYPERLINK(S41,"Yahooを開く"),"")</f>
        <v/>
      </c>
      <c r="AB41" s="6">
        <f>IF(LEFT(X41,4)="http",HYPERLINK(X41,"Amazonを開く"),"")</f>
        <v/>
      </c>
      <c r="AC41" s="6">
        <f>IF(H41="","",IF(TRIM(H41&amp;"")=TRIM(A41&amp;""),"OK","行ずれ"))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6">
        <f>IF(LEFT(N42,4)="http",HYPERLINK(N42,"楽天を開く"),"")</f>
        <v/>
      </c>
      <c r="AA42" s="6">
        <f>IF(LEFT(S42,4)="http",HYPERLINK(S42,"Yahooを開く"),"")</f>
        <v/>
      </c>
      <c r="AB42" s="6">
        <f>IF(LEFT(X42,4)="http",HYPERLINK(X42,"Amazonを開く"),"")</f>
        <v/>
      </c>
      <c r="AC42" s="6">
        <f>IF(H42="","",IF(TRIM(H42&amp;"")=TRIM(A42&amp;""),"OK","行ずれ"))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6">
        <f>IF(LEFT(N43,4)="http",HYPERLINK(N43,"楽天を開く"),"")</f>
        <v/>
      </c>
      <c r="AA43" s="6">
        <f>IF(LEFT(S43,4)="http",HYPERLINK(S43,"Yahooを開く"),"")</f>
        <v/>
      </c>
      <c r="AB43" s="6">
        <f>IF(LEFT(X43,4)="http",HYPERLINK(X43,"Amazonを開く"),"")</f>
        <v/>
      </c>
      <c r="AC43" s="6">
        <f>IF(H43="","",IF(TRIM(H43&amp;"")=TRIM(A43&amp;""),"OK","行ずれ"))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6">
        <f>IF(LEFT(N44,4)="http",HYPERLINK(N44,"楽天を開く"),"")</f>
        <v/>
      </c>
      <c r="AA44" s="6">
        <f>IF(LEFT(S44,4)="http",HYPERLINK(S44,"Yahooを開く"),"")</f>
        <v/>
      </c>
      <c r="AB44" s="6">
        <f>IF(LEFT(X44,4)="http",HYPERLINK(X44,"Amazonを開く"),"")</f>
        <v/>
      </c>
      <c r="AC44" s="6">
        <f>IF(H44="","",IF(TRIM(H44&amp;"")=TRIM(A44&amp;""),"OK","行ずれ"))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6">
        <f>IF(LEFT(N45,4)="http",HYPERLINK(N45,"楽天を開く"),"")</f>
        <v/>
      </c>
      <c r="AA45" s="6">
        <f>IF(LEFT(S45,4)="http",HYPERLINK(S45,"Yahooを開く"),"")</f>
        <v/>
      </c>
      <c r="AB45" s="6">
        <f>IF(LEFT(X45,4)="http",HYPERLINK(X45,"Amazonを開く"),"")</f>
        <v/>
      </c>
      <c r="AC45" s="6">
        <f>IF(H45="","",IF(TRIM(H45&amp;"")=TRIM(A45&amp;""),"OK","行ずれ"))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6">
        <f>IF(LEFT(N46,4)="http",HYPERLINK(N46,"楽天を開く"),"")</f>
        <v/>
      </c>
      <c r="AA46" s="6">
        <f>IF(LEFT(S46,4)="http",HYPERLINK(S46,"Yahooを開く"),"")</f>
        <v/>
      </c>
      <c r="AB46" s="6">
        <f>IF(LEFT(X46,4)="http",HYPERLINK(X46,"Amazonを開く"),"")</f>
        <v/>
      </c>
      <c r="AC46" s="6">
        <f>IF(H46="","",IF(TRIM(H46&amp;"")=TRIM(A46&amp;""),"OK","行ずれ"))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6">
        <f>IF(LEFT(N47,4)="http",HYPERLINK(N47,"楽天を開く"),"")</f>
        <v/>
      </c>
      <c r="AA47" s="6">
        <f>IF(LEFT(S47,4)="http",HYPERLINK(S47,"Yahooを開く"),"")</f>
        <v/>
      </c>
      <c r="AB47" s="6">
        <f>IF(LEFT(X47,4)="http",HYPERLINK(X47,"Amazonを開く"),"")</f>
        <v/>
      </c>
      <c r="AC47" s="6">
        <f>IF(H47="","",IF(TRIM(H47&amp;"")=TRIM(A47&amp;""),"OK","行ずれ"))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6">
        <f>IF(LEFT(N48,4)="http",HYPERLINK(N48,"楽天を開く"),"")</f>
        <v/>
      </c>
      <c r="AA48" s="6">
        <f>IF(LEFT(S48,4)="http",HYPERLINK(S48,"Yahooを開く"),"")</f>
        <v/>
      </c>
      <c r="AB48" s="6">
        <f>IF(LEFT(X48,4)="http",HYPERLINK(X48,"Amazonを開く"),"")</f>
        <v/>
      </c>
      <c r="AC48" s="6">
        <f>IF(H48="","",IF(TRIM(H48&amp;"")=TRIM(A48&amp;""),"OK","行ずれ"))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6">
        <f>IF(LEFT(N49,4)="http",HYPERLINK(N49,"楽天を開く"),"")</f>
        <v/>
      </c>
      <c r="AA49" s="6">
        <f>IF(LEFT(S49,4)="http",HYPERLINK(S49,"Yahooを開く"),"")</f>
        <v/>
      </c>
      <c r="AB49" s="6">
        <f>IF(LEFT(X49,4)="http",HYPERLINK(X49,"Amazonを開く"),"")</f>
        <v/>
      </c>
      <c r="AC49" s="6">
        <f>IF(H49="","",IF(TRIM(H49&amp;"")=TRIM(A49&amp;""),"OK","行ずれ"))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6">
        <f>IF(LEFT(N50,4)="http",HYPERLINK(N50,"楽天を開く"),"")</f>
        <v/>
      </c>
      <c r="AA50" s="6">
        <f>IF(LEFT(S50,4)="http",HYPERLINK(S50,"Yahooを開く"),"")</f>
        <v/>
      </c>
      <c r="AB50" s="6">
        <f>IF(LEFT(X50,4)="http",HYPERLINK(X50,"Amazonを開く"),"")</f>
        <v/>
      </c>
      <c r="AC50" s="6">
        <f>IF(H50="","",IF(TRIM(H50&amp;"")=TRIM(A50&amp;""),"OK","行ずれ"))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6">
        <f>IF(LEFT(N51,4)="http",HYPERLINK(N51,"楽天を開く"),"")</f>
        <v/>
      </c>
      <c r="AA51" s="6">
        <f>IF(LEFT(S51,4)="http",HYPERLINK(S51,"Yahooを開く"),"")</f>
        <v/>
      </c>
      <c r="AB51" s="6">
        <f>IF(LEFT(X51,4)="http",HYPERLINK(X51,"Amazonを開く"),"")</f>
        <v/>
      </c>
      <c r="AC51" s="6">
        <f>IF(H51="","",IF(TRIM(H51&amp;"")=TRIM(A51&amp;""),"OK","行ずれ"))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6">
        <f>IF(LEFT(N52,4)="http",HYPERLINK(N52,"楽天を開く"),"")</f>
        <v/>
      </c>
      <c r="AA52" s="6">
        <f>IF(LEFT(S52,4)="http",HYPERLINK(S52,"Yahooを開く"),"")</f>
        <v/>
      </c>
      <c r="AB52" s="6">
        <f>IF(LEFT(X52,4)="http",HYPERLINK(X52,"Amazonを開く"),"")</f>
        <v/>
      </c>
      <c r="AC52" s="6">
        <f>IF(H52="","",IF(TRIM(H52&amp;"")=TRIM(A52&amp;""),"OK","行ずれ"))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6">
        <f>IF(LEFT(N53,4)="http",HYPERLINK(N53,"楽天を開く"),"")</f>
        <v/>
      </c>
      <c r="AA53" s="6">
        <f>IF(LEFT(S53,4)="http",HYPERLINK(S53,"Yahooを開く"),"")</f>
        <v/>
      </c>
      <c r="AB53" s="6">
        <f>IF(LEFT(X53,4)="http",HYPERLINK(X53,"Amazonを開く"),"")</f>
        <v/>
      </c>
      <c r="AC53" s="6">
        <f>IF(H53="","",IF(TRIM(H53&amp;"")=TRIM(A53&amp;""),"OK","行ずれ"))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6">
        <f>IF(LEFT(N54,4)="http",HYPERLINK(N54,"楽天を開く"),"")</f>
        <v/>
      </c>
      <c r="AA54" s="6">
        <f>IF(LEFT(S54,4)="http",HYPERLINK(S54,"Yahooを開く"),"")</f>
        <v/>
      </c>
      <c r="AB54" s="6">
        <f>IF(LEFT(X54,4)="http",HYPERLINK(X54,"Amazonを開く"),"")</f>
        <v/>
      </c>
      <c r="AC54" s="6">
        <f>IF(H54="","",IF(TRIM(H54&amp;"")=TRIM(A54&amp;""),"OK","行ずれ"))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6">
        <f>IF(LEFT(N55,4)="http",HYPERLINK(N55,"楽天を開く"),"")</f>
        <v/>
      </c>
      <c r="AA55" s="6">
        <f>IF(LEFT(S55,4)="http",HYPERLINK(S55,"Yahooを開く"),"")</f>
        <v/>
      </c>
      <c r="AB55" s="6">
        <f>IF(LEFT(X55,4)="http",HYPERLINK(X55,"Amazonを開く"),"")</f>
        <v/>
      </c>
      <c r="AC55" s="6">
        <f>IF(H55="","",IF(TRIM(H55&amp;"")=TRIM(A55&amp;""),"OK","行ずれ"))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6">
        <f>IF(LEFT(N56,4)="http",HYPERLINK(N56,"楽天を開く"),"")</f>
        <v/>
      </c>
      <c r="AA56" s="6">
        <f>IF(LEFT(S56,4)="http",HYPERLINK(S56,"Yahooを開く"),"")</f>
        <v/>
      </c>
      <c r="AB56" s="6">
        <f>IF(LEFT(X56,4)="http",HYPERLINK(X56,"Amazonを開く"),"")</f>
        <v/>
      </c>
      <c r="AC56" s="6">
        <f>IF(H56="","",IF(TRIM(H56&amp;"")=TRIM(A56&amp;""),"OK","行ずれ"))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6">
        <f>IF(LEFT(N57,4)="http",HYPERLINK(N57,"楽天を開く"),"")</f>
        <v/>
      </c>
      <c r="AA57" s="6">
        <f>IF(LEFT(S57,4)="http",HYPERLINK(S57,"Yahooを開く"),"")</f>
        <v/>
      </c>
      <c r="AB57" s="6">
        <f>IF(LEFT(X57,4)="http",HYPERLINK(X57,"Amazonを開く"),"")</f>
        <v/>
      </c>
      <c r="AC57" s="6">
        <f>IF(H57="","",IF(TRIM(H57&amp;"")=TRIM(A57&amp;""),"OK","行ずれ"))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6">
        <f>IF(LEFT(N58,4)="http",HYPERLINK(N58,"楽天を開く"),"")</f>
        <v/>
      </c>
      <c r="AA58" s="6">
        <f>IF(LEFT(S58,4)="http",HYPERLINK(S58,"Yahooを開く"),"")</f>
        <v/>
      </c>
      <c r="AB58" s="6">
        <f>IF(LEFT(X58,4)="http",HYPERLINK(X58,"Amazonを開く"),"")</f>
        <v/>
      </c>
      <c r="AC58" s="6">
        <f>IF(H58="","",IF(TRIM(H58&amp;"")=TRIM(A58&amp;""),"OK","行ずれ"))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6">
        <f>IF(LEFT(N59,4)="http",HYPERLINK(N59,"楽天を開く"),"")</f>
        <v/>
      </c>
      <c r="AA59" s="6">
        <f>IF(LEFT(S59,4)="http",HYPERLINK(S59,"Yahooを開く"),"")</f>
        <v/>
      </c>
      <c r="AB59" s="6">
        <f>IF(LEFT(X59,4)="http",HYPERLINK(X59,"Amazonを開く"),"")</f>
        <v/>
      </c>
      <c r="AC59" s="6">
        <f>IF(H59="","",IF(TRIM(H59&amp;"")=TRIM(A59&amp;""),"OK","行ずれ"))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6">
        <f>IF(LEFT(N60,4)="http",HYPERLINK(N60,"楽天を開く"),"")</f>
        <v/>
      </c>
      <c r="AA60" s="6">
        <f>IF(LEFT(S60,4)="http",HYPERLINK(S60,"Yahooを開く"),"")</f>
        <v/>
      </c>
      <c r="AB60" s="6">
        <f>IF(LEFT(X60,4)="http",HYPERLINK(X60,"Amazonを開く"),"")</f>
        <v/>
      </c>
      <c r="AC60" s="6">
        <f>IF(H60="","",IF(TRIM(H60&amp;"")=TRIM(A60&amp;""),"OK","行ずれ"))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6">
        <f>IF(LEFT(N61,4)="http",HYPERLINK(N61,"楽天を開く"),"")</f>
        <v/>
      </c>
      <c r="AA61" s="6">
        <f>IF(LEFT(S61,4)="http",HYPERLINK(S61,"Yahooを開く"),"")</f>
        <v/>
      </c>
      <c r="AB61" s="6">
        <f>IF(LEFT(X61,4)="http",HYPERLINK(X61,"Amazonを開く"),"")</f>
        <v/>
      </c>
      <c r="AC61" s="6">
        <f>IF(H61="","",IF(TRIM(H61&amp;"")=TRIM(A61&amp;""),"OK","行ずれ"))</f>
        <v/>
      </c>
    </row>
    <row r="62">
      <c r="A62" s="4" t="n"/>
      <c r="B62" s="4" t="n"/>
      <c r="C62" s="4" t="n"/>
      <c r="D62" s="4" t="n"/>
      <c r="E62" s="4" t="n"/>
      <c r="F62" s="4" t="n"/>
      <c r="G62" s="4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6">
        <f>IF(LEFT(N62,4)="http",HYPERLINK(N62,"楽天を開く"),"")</f>
        <v/>
      </c>
      <c r="AA62" s="6">
        <f>IF(LEFT(S62,4)="http",HYPERLINK(S62,"Yahooを開く"),"")</f>
        <v/>
      </c>
      <c r="AB62" s="6">
        <f>IF(LEFT(X62,4)="http",HYPERLINK(X62,"Amazonを開く"),"")</f>
        <v/>
      </c>
      <c r="AC62" s="6">
        <f>IF(H62="","",IF(TRIM(H62&amp;"")=TRIM(A62&amp;""),"OK","行ずれ"))</f>
        <v/>
      </c>
    </row>
  </sheetData>
  <mergeCells count="3">
    <mergeCell ref="H1:Y1"/>
    <mergeCell ref="Z1:AC1"/>
    <mergeCell ref="A1:G1"/>
  </mergeCells>
  <dataValidations count="1">
    <dataValidation sqref="D3:D62" showDropDown="0" showInputMessage="0" showErrorMessage="0" allowBlank="1" type="list">
      <formula1>"g,ml,kg,L,個,枚,本,缶"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使い方</t>
        </is>
      </c>
    </row>
    <row r="2">
      <c r="A2" t="inlineStr">
        <is>
          <t>1. 「価格指定と結果」シートの黄色の列（A〜G）に記入する。</t>
        </is>
      </c>
    </row>
    <row r="3">
      <c r="A3" t="inlineStr">
        <is>
          <t xml:space="preserve">   ・基準量＋単位：何gあたりの価格か（例：100 / g）</t>
        </is>
      </c>
    </row>
    <row r="4">
      <c r="A4" t="inlineStr">
        <is>
          <t xml:space="preserve">   ・指定価格：基準量あたりの税込価格。AIはこの価格を『超える』商品を探す。</t>
        </is>
      </c>
    </row>
    <row r="5">
      <c r="A5" t="inlineStr">
        <is>
          <t xml:space="preserve">   ・容量下限・上限：任意。書くとその容量（単位は基準量と同じ）の商品だけを候補にする。</t>
        </is>
      </c>
    </row>
    <row r="6">
      <c r="A6" t="inlineStr">
        <is>
          <t>2. A2から記入した最後の行のG列までを選択してコピー（見出し行を含める）。</t>
        </is>
      </c>
    </row>
    <row r="7">
      <c r="A7" t="inlineStr">
        <is>
          <t>3. prompt.md の【価格表】の位置に貼り付け、内訳書PDFを添付してAIモードで送信。</t>
        </is>
      </c>
    </row>
    <row r="8">
      <c r="A8" t="inlineStr">
        <is>
          <t>4. AIの出力の『C. Excel貼り付け用の表』を、見出しごとドラッグで選択してコピー。</t>
        </is>
      </c>
    </row>
    <row r="9">
      <c r="A9" t="inlineStr">
        <is>
          <t>5. このシートの H2 セルを選んで貼り付け（右クリック →『貼り付け先の書式に合わせる』推奨）。</t>
        </is>
      </c>
    </row>
    <row r="10">
      <c r="A10" t="inlineStr">
        <is>
          <t>6. 緑の列に自動でリンク（楽天を開く 等）が出る。『行チェック』が『行ずれ』なら貼り付け位置を確認。</t>
        </is>
      </c>
    </row>
    <row r="11">
      <c r="A11" t="inlineStr"/>
    </row>
    <row r="12">
      <c r="A12" s="8" t="inlineStr">
        <is>
          <t>注意</t>
        </is>
      </c>
    </row>
    <row r="13">
      <c r="A13" t="inlineStr">
        <is>
          <t>・AIの価格・URLは候補であり、必ずリンク先で実物を確認すること。</t>
        </is>
      </c>
    </row>
    <row r="14">
      <c r="A14" t="inlineStr">
        <is>
          <t>・Google AIモードはExcelファイルを直接読めないため、コピー＆貼り付けでやり取りする。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2026-10-12T01:32:18Z</dcterms:created>
  <dcterms:modified xmlns:dcterms="http://purl.org/dc/terms/" xmlns:xsi="http://www.w3.org/2001/XMLSchema-instance" xsi:type="dcterms:W3CDTF">2026-10-12T01:32:19Z</dcterms:modified>
</cp:coreProperties>
</file>